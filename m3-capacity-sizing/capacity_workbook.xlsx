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ajeongho/cjons-infra-handson/m3-capacity-sizing/"/>
    </mc:Choice>
  </mc:AlternateContent>
  <xr:revisionPtr revIDLastSave="0" documentId="13_ncr:1_{AC7052D1-2317-9047-80E4-1736C035AEB0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사용안내" sheetId="1" r:id="rId1"/>
    <sheet name="모니터링_데이터" sheetId="2" r:id="rId2"/>
    <sheet name="용량산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F18" i="3" s="1"/>
  <c r="C17" i="3"/>
  <c r="F22" i="3" s="1"/>
  <c r="F15" i="3"/>
  <c r="C13" i="3"/>
  <c r="F13" i="3" s="1"/>
  <c r="F11" i="3"/>
  <c r="C9" i="3"/>
  <c r="F10" i="3" s="1"/>
  <c r="F12" i="3" s="1"/>
  <c r="F14" i="3" l="1"/>
  <c r="F16" i="3" s="1"/>
  <c r="F17" i="3"/>
  <c r="F9" i="3"/>
</calcChain>
</file>

<file path=xl/sharedStrings.xml><?xml version="1.0" encoding="utf-8"?>
<sst xmlns="http://schemas.openxmlformats.org/spreadsheetml/2006/main" count="152" uniqueCount="112">
  <si>
    <t>Lab 2. CPU·Memory·Disk 용량산정 실습</t>
  </si>
  <si>
    <t>단계</t>
  </si>
  <si>
    <t>해야 할 일</t>
  </si>
  <si>
    <t>완료 기준</t>
  </si>
  <si>
    <t>권장 시간</t>
  </si>
  <si>
    <t>주의</t>
  </si>
  <si>
    <t>산출물</t>
  </si>
  <si>
    <t>1</t>
  </si>
  <si>
    <t>모니터링 데이터의 평균/P95/피크 확인</t>
  </si>
  <si>
    <t>단위와 관측기간 명시</t>
  </si>
  <si>
    <t>10분</t>
  </si>
  <si>
    <t>평균만 사용하지 않기</t>
  </si>
  <si>
    <t>관측 요약</t>
  </si>
  <si>
    <t>2</t>
  </si>
  <si>
    <t>업무 성장률·프로모션 배수·목표 사용률 입력</t>
  </si>
  <si>
    <t>가정의 출처와 이유 작성</t>
  </si>
  <si>
    <t>가정 숨기지 않기</t>
  </si>
  <si>
    <t>가정표</t>
  </si>
  <si>
    <t>3</t>
  </si>
  <si>
    <t>CPU/Memory/Disk 필요량 계산</t>
  </si>
  <si>
    <t>N+1과 여유율 반영</t>
  </si>
  <si>
    <t>20분</t>
  </si>
  <si>
    <t>GB/GiB, vCPU 단위 확인</t>
  </si>
  <si>
    <t>산정 결과</t>
  </si>
  <si>
    <t>4</t>
  </si>
  <si>
    <t>현 보유량과 비교하여 증설 판단</t>
  </si>
  <si>
    <t>부족량과 증설 시점 작성</t>
  </si>
  <si>
    <t>15분</t>
  </si>
  <si>
    <t>현재 피크만 보지 않기</t>
  </si>
  <si>
    <t>권고안</t>
  </si>
  <si>
    <t>5</t>
  </si>
  <si>
    <t>숫자·리스크·조치 포함</t>
  </si>
  <si>
    <t>숫자보다 근거</t>
  </si>
  <si>
    <t>최종 권고</t>
  </si>
  <si>
    <t>채점</t>
  </si>
  <si>
    <t>가정 30%, 수식 30%, 판단 25%, 문서화 15%</t>
  </si>
  <si>
    <t>가상 서비스 A - 최근 4주 운영 데이터</t>
  </si>
  <si>
    <t>주차</t>
  </si>
  <si>
    <t>평균 CPU 사용(vCPU)</t>
  </si>
  <si>
    <t>P95 CPU(vCPU)</t>
  </si>
  <si>
    <t>Peak CPU(vCPU)</t>
  </si>
  <si>
    <t>평균 Memory(GiB)</t>
  </si>
  <si>
    <t>P95 Memory(GiB)</t>
  </si>
  <si>
    <t>Disk 사용량(GiB)</t>
  </si>
  <si>
    <t>일평균 Disk 증가(GiB)</t>
  </si>
  <si>
    <t>W1</t>
  </si>
  <si>
    <t>W2</t>
  </si>
  <si>
    <t>W3</t>
  </si>
  <si>
    <t>W4</t>
  </si>
  <si>
    <t>업무 조건</t>
  </si>
  <si>
    <t>값</t>
  </si>
  <si>
    <t>단위/설명</t>
  </si>
  <si>
    <t>현재 보유 CPU</t>
  </si>
  <si>
    <t>vCPU</t>
  </si>
  <si>
    <t>현재 보유 Memory</t>
  </si>
  <si>
    <t>GiB</t>
  </si>
  <si>
    <t>용량산정 입력·계산·권고</t>
  </si>
  <si>
    <t>구분</t>
  </si>
  <si>
    <t>항목</t>
  </si>
  <si>
    <t>입력값</t>
  </si>
  <si>
    <t>단위</t>
  </si>
  <si>
    <t>계산식/근거</t>
  </si>
  <si>
    <t>산정결과</t>
  </si>
  <si>
    <t>판단/메모</t>
  </si>
  <si>
    <t>공통 가정</t>
  </si>
  <si>
    <t>향후 업무 성장 배수</t>
  </si>
  <si>
    <t>배</t>
  </si>
  <si>
    <t>예: 30% 성장=1.30</t>
  </si>
  <si>
    <t>직접 수정</t>
  </si>
  <si>
    <t>프로모션 피크 배수</t>
  </si>
  <si>
    <t>예: 평시 대비 1.8배</t>
  </si>
  <si>
    <t>목표 최대 사용률</t>
  </si>
  <si>
    <t>%</t>
  </si>
  <si>
    <t>장애·변동 여유</t>
  </si>
  <si>
    <t>HA 여유 배수(N+1)</t>
  </si>
  <si>
    <t>노드 1대 장애 고려</t>
  </si>
  <si>
    <t>CPU</t>
  </si>
  <si>
    <t>기준 Peak CPU</t>
  </si>
  <si>
    <t>모니터링 W4 Peak</t>
  </si>
  <si>
    <t>필요 CPU</t>
  </si>
  <si>
    <t>Peak×성장×프로모션÷목표사용률×HA</t>
  </si>
  <si>
    <t>현재 CPU</t>
  </si>
  <si>
    <t>보유량</t>
  </si>
  <si>
    <t>CPU 부족량</t>
  </si>
  <si>
    <t>MAX(0, 필요-현재)</t>
  </si>
  <si>
    <t>Memory</t>
  </si>
  <si>
    <t>기준 P95 Memory</t>
  </si>
  <si>
    <t>모니터링 W4 P95</t>
  </si>
  <si>
    <t>필요 Memory</t>
  </si>
  <si>
    <t>P95×성장×프로모션÷목표사용률×HA</t>
  </si>
  <si>
    <t>현재 Memory</t>
  </si>
  <si>
    <t>Memory 부족량</t>
  </si>
  <si>
    <t>Disk</t>
  </si>
  <si>
    <t>현재 Disk 사용량</t>
  </si>
  <si>
    <t>모니터링 W4</t>
  </si>
  <si>
    <t>일평균 증가량</t>
  </si>
  <si>
    <t>GiB/day</t>
  </si>
  <si>
    <t>보존/계획 기간</t>
  </si>
  <si>
    <t>day</t>
  </si>
  <si>
    <t>향후 90일</t>
  </si>
  <si>
    <t>운영 여유</t>
  </si>
  <si>
    <t>Disk 안전 계수</t>
  </si>
  <si>
    <t>성장은 일평균 증가×기간에 이미 반영 — 별도 안전 계수</t>
  </si>
  <si>
    <t>필요 Disk</t>
  </si>
  <si>
    <t>(현재+증가×기간)×Disk안전계수÷목표사용률×HA</t>
  </si>
  <si>
    <t>권고</t>
  </si>
  <si>
    <t>최종 증설 권고</t>
  </si>
  <si>
    <t>텍스트</t>
  </si>
  <si>
    <t>CPU/Memory/Disk 결과 기반</t>
  </si>
  <si>
    <t>참가자 작성</t>
  </si>
  <si>
    <t>3줄 작성</t>
  </si>
  <si>
    <t>3줄 관리/운영 권고 작성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</si>
</sst>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8"/>
      <name val="나눔명조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3" fillId="0" borderId="1"/>
  </cellStyleXfs>
  <cellXfs count="12">
    <xf numFmtId="0" fontId="0" fillId="0" borderId="0" xfId="0" applyBorder="1"/>
    <xf numFmtId="0" fontId="2" fillId="3" borderId="0" xfId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wrapText="1"/>
    </xf>
    <xf numFmtId="0" fontId="0" fillId="0" borderId="1" xfId="1" applyFont="1" applyAlignment="1">
      <alignment wrapText="1"/>
    </xf>
    <xf numFmtId="0" fontId="0" fillId="4" borderId="0" xfId="1" applyFont="1" applyFill="1" applyBorder="1" applyAlignment="1">
      <alignment wrapText="1"/>
    </xf>
    <xf numFmtId="0" fontId="0" fillId="4" borderId="1" xfId="1" applyFont="1" applyFill="1" applyAlignment="1">
      <alignment wrapText="1"/>
    </xf>
    <xf numFmtId="0" fontId="0" fillId="5" borderId="0" xfId="1" applyFont="1" applyFill="1" applyBorder="1" applyAlignment="1">
      <alignment wrapText="1"/>
    </xf>
    <xf numFmtId="0" fontId="0" fillId="5" borderId="1" xfId="1" applyFont="1" applyFill="1" applyAlignment="1">
      <alignment wrapText="1"/>
    </xf>
    <xf numFmtId="9" fontId="0" fillId="4" borderId="0" xfId="1" applyNumberFormat="1" applyFont="1" applyFill="1" applyBorder="1" applyAlignment="1">
      <alignment wrapText="1"/>
    </xf>
    <xf numFmtId="176" fontId="0" fillId="0" borderId="0" xfId="1" applyNumberFormat="1" applyFont="1" applyBorder="1" applyAlignment="1">
      <alignment wrapText="1"/>
    </xf>
    <xf numFmtId="0" fontId="1" fillId="2" borderId="1" xfId="1" applyFont="1" applyFill="1" applyAlignment="1">
      <alignment horizontal="left" vertical="center"/>
    </xf>
    <xf numFmtId="0" fontId="0" fillId="0" borderId="1" xfId="1" applyFont="1"/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deTable" displayName="GuideTable" ref="A4:F10">
  <tableColumns count="6">
    <tableColumn id="1" xr3:uid="{00000000-0010-0000-0000-000001000000}" name="단계"/>
    <tableColumn id="2" xr3:uid="{00000000-0010-0000-0000-000002000000}" name="해야 할 일"/>
    <tableColumn id="3" xr3:uid="{00000000-0010-0000-0000-000003000000}" name="완료 기준"/>
    <tableColumn id="4" xr3:uid="{00000000-0010-0000-0000-000004000000}" name="권장 시간"/>
    <tableColumn id="5" xr3:uid="{00000000-0010-0000-0000-000005000000}" name="주의"/>
    <tableColumn id="6" xr3:uid="{00000000-0010-0000-0000-000006000000}" name="산출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itoringTable" displayName="MonitoringTable" ref="A4:H8">
  <tableColumns count="8">
    <tableColumn id="1" xr3:uid="{00000000-0010-0000-0100-000001000000}" name="주차"/>
    <tableColumn id="2" xr3:uid="{00000000-0010-0000-0100-000002000000}" name="평균 CPU 사용(vCPU)"/>
    <tableColumn id="3" xr3:uid="{00000000-0010-0000-0100-000003000000}" name="P95 CPU(vCPU)"/>
    <tableColumn id="4" xr3:uid="{00000000-0010-0000-0100-000004000000}" name="Peak CPU(vCPU)"/>
    <tableColumn id="5" xr3:uid="{00000000-0010-0000-0100-000005000000}" name="평균 Memory(GiB)"/>
    <tableColumn id="6" xr3:uid="{00000000-0010-0000-0100-000006000000}" name="P95 Memory(GiB)"/>
    <tableColumn id="7" xr3:uid="{00000000-0010-0000-0100-000007000000}" name="Disk 사용량(GiB)"/>
    <tableColumn id="8" xr3:uid="{00000000-0010-0000-0100-000008000000}" name="일평균 Disk 증가(GiB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zingTable" displayName="SizingTable" ref="A4:G22">
  <tableColumns count="7">
    <tableColumn id="1" xr3:uid="{00000000-0010-0000-0200-000001000000}" name="구분"/>
    <tableColumn id="2" xr3:uid="{00000000-0010-0000-0200-000002000000}" name="항목"/>
    <tableColumn id="3" xr3:uid="{00000000-0010-0000-0200-000003000000}" name="입력값"/>
    <tableColumn id="4" xr3:uid="{00000000-0010-0000-0200-000004000000}" name="단위"/>
    <tableColumn id="5" xr3:uid="{00000000-0010-0000-0200-000005000000}" name="계산식/근거"/>
    <tableColumn id="6" xr3:uid="{00000000-0010-0000-0200-000006000000}" name="산정결과"/>
    <tableColumn id="7" xr3:uid="{00000000-0010-0000-0200-000007000000}" name="판단/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12" sqref="C12"/>
    </sheetView>
  </sheetViews>
  <sheetFormatPr baseColWidth="10" defaultColWidth="8.83203125" defaultRowHeight="14"/>
  <cols>
    <col min="1" max="1" width="12" customWidth="1"/>
    <col min="2" max="2" width="36" customWidth="1"/>
    <col min="3" max="3" width="32" customWidth="1"/>
    <col min="4" max="4" width="14" customWidth="1"/>
    <col min="5" max="5" width="28" customWidth="1"/>
    <col min="6" max="6" width="22" customWidth="1"/>
  </cols>
  <sheetData>
    <row r="1" spans="1:6">
      <c r="A1" s="10" t="s">
        <v>0</v>
      </c>
      <c r="B1" s="11"/>
      <c r="C1" s="11"/>
      <c r="D1" s="11"/>
      <c r="E1" s="11"/>
      <c r="F1" s="11"/>
    </row>
    <row r="2" spans="1:6">
      <c r="A2" s="11"/>
      <c r="B2" s="11"/>
      <c r="C2" s="11"/>
      <c r="D2" s="11"/>
      <c r="E2" s="11"/>
      <c r="F2" s="11"/>
    </row>
    <row r="4" spans="1:6" ht="1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ht="30">
      <c r="A6" s="2" t="s">
        <v>13</v>
      </c>
      <c r="B6" s="2" t="s">
        <v>14</v>
      </c>
      <c r="C6" s="2" t="s">
        <v>15</v>
      </c>
      <c r="D6" s="2" t="s">
        <v>10</v>
      </c>
      <c r="E6" s="2" t="s">
        <v>16</v>
      </c>
      <c r="F6" s="2" t="s">
        <v>17</v>
      </c>
    </row>
    <row r="7" spans="1:6" ht="15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</row>
    <row r="8" spans="1:6" ht="15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</row>
    <row r="9" spans="1:6" ht="15">
      <c r="A9" s="2" t="s">
        <v>30</v>
      </c>
      <c r="B9" s="2" t="s">
        <v>111</v>
      </c>
      <c r="C9" s="2" t="s">
        <v>31</v>
      </c>
      <c r="D9" s="2" t="s">
        <v>10</v>
      </c>
      <c r="E9" s="2" t="s">
        <v>32</v>
      </c>
      <c r="F9" s="2" t="s">
        <v>33</v>
      </c>
    </row>
    <row r="10" spans="1:6" ht="30">
      <c r="A10" s="2" t="s">
        <v>34</v>
      </c>
      <c r="B10" s="2" t="s">
        <v>35</v>
      </c>
      <c r="C10" s="2"/>
      <c r="D10" s="2"/>
      <c r="E10" s="2"/>
      <c r="F10" s="2"/>
    </row>
  </sheetData>
  <mergeCells count="1">
    <mergeCell ref="A1:F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sqref="A1:H2"/>
    </sheetView>
  </sheetViews>
  <sheetFormatPr baseColWidth="10" defaultColWidth="8.83203125" defaultRowHeight="14"/>
  <cols>
    <col min="1" max="1" width="12" customWidth="1"/>
    <col min="2" max="2" width="20" customWidth="1"/>
    <col min="3" max="4" width="18" customWidth="1"/>
    <col min="5" max="6" width="20" customWidth="1"/>
    <col min="7" max="7" width="18" customWidth="1"/>
    <col min="8" max="8" width="22" customWidth="1"/>
  </cols>
  <sheetData>
    <row r="1" spans="1:8">
      <c r="A1" s="10" t="s">
        <v>36</v>
      </c>
      <c r="B1" s="11"/>
      <c r="C1" s="11"/>
      <c r="D1" s="11"/>
      <c r="E1" s="11"/>
      <c r="F1" s="11"/>
      <c r="G1" s="11"/>
      <c r="H1" s="11"/>
    </row>
    <row r="2" spans="1:8">
      <c r="A2" s="11"/>
      <c r="B2" s="11"/>
      <c r="C2" s="11"/>
      <c r="D2" s="11"/>
      <c r="E2" s="11"/>
      <c r="F2" s="11"/>
      <c r="G2" s="11"/>
      <c r="H2" s="11"/>
    </row>
    <row r="4" spans="1:8" ht="16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</row>
    <row r="5" spans="1:8">
      <c r="A5" t="s">
        <v>45</v>
      </c>
      <c r="B5">
        <v>5.8</v>
      </c>
      <c r="C5">
        <v>8.1999999999999993</v>
      </c>
      <c r="D5">
        <v>9.4</v>
      </c>
      <c r="E5">
        <v>18.5</v>
      </c>
      <c r="F5">
        <v>23</v>
      </c>
      <c r="G5">
        <v>420</v>
      </c>
      <c r="H5">
        <v>4.8</v>
      </c>
    </row>
    <row r="6" spans="1:8">
      <c r="A6" t="s">
        <v>46</v>
      </c>
      <c r="B6">
        <v>6.1</v>
      </c>
      <c r="C6">
        <v>8.8000000000000007</v>
      </c>
      <c r="D6">
        <v>10.199999999999999</v>
      </c>
      <c r="E6">
        <v>19.2</v>
      </c>
      <c r="F6">
        <v>24.5</v>
      </c>
      <c r="G6">
        <v>455</v>
      </c>
      <c r="H6">
        <v>5</v>
      </c>
    </row>
    <row r="7" spans="1:8">
      <c r="A7" t="s">
        <v>47</v>
      </c>
      <c r="B7">
        <v>6.5</v>
      </c>
      <c r="C7">
        <v>9.4</v>
      </c>
      <c r="D7">
        <v>10.8</v>
      </c>
      <c r="E7">
        <v>20.100000000000001</v>
      </c>
      <c r="F7">
        <v>25.8</v>
      </c>
      <c r="G7">
        <v>490</v>
      </c>
      <c r="H7">
        <v>5.3</v>
      </c>
    </row>
    <row r="8" spans="1:8">
      <c r="A8" t="s">
        <v>48</v>
      </c>
      <c r="B8">
        <v>6.9</v>
      </c>
      <c r="C8">
        <v>10.1</v>
      </c>
      <c r="D8">
        <v>11.6</v>
      </c>
      <c r="E8">
        <v>21</v>
      </c>
      <c r="F8">
        <v>27.1</v>
      </c>
      <c r="G8">
        <v>528</v>
      </c>
      <c r="H8">
        <v>5.7</v>
      </c>
    </row>
    <row r="10" spans="1:8" ht="16">
      <c r="A10" s="1" t="s">
        <v>49</v>
      </c>
      <c r="B10" s="1" t="s">
        <v>50</v>
      </c>
      <c r="C10" s="1" t="s">
        <v>51</v>
      </c>
    </row>
    <row r="11" spans="1:8">
      <c r="A11" t="s">
        <v>52</v>
      </c>
      <c r="B11">
        <v>16</v>
      </c>
      <c r="C11" t="s">
        <v>53</v>
      </c>
    </row>
    <row r="12" spans="1:8">
      <c r="A12" t="s">
        <v>54</v>
      </c>
      <c r="B12">
        <v>48</v>
      </c>
      <c r="C12" t="s">
        <v>55</v>
      </c>
    </row>
  </sheetData>
  <mergeCells count="1">
    <mergeCell ref="A1:H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sqref="A1:G2"/>
    </sheetView>
  </sheetViews>
  <sheetFormatPr baseColWidth="10" defaultColWidth="8.83203125" defaultRowHeight="14"/>
  <cols>
    <col min="1" max="1" width="14" customWidth="1"/>
    <col min="2" max="2" width="24" customWidth="1"/>
    <col min="3" max="4" width="14" customWidth="1"/>
    <col min="5" max="5" width="38" customWidth="1"/>
    <col min="6" max="6" width="16" customWidth="1"/>
    <col min="7" max="7" width="30" customWidth="1"/>
  </cols>
  <sheetData>
    <row r="1" spans="1:7">
      <c r="A1" s="10" t="s">
        <v>56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4" spans="1:7" ht="16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</row>
    <row r="5" spans="1:7" ht="15">
      <c r="A5" s="2" t="s">
        <v>64</v>
      </c>
      <c r="B5" s="2" t="s">
        <v>65</v>
      </c>
      <c r="C5" s="4">
        <v>1.3</v>
      </c>
      <c r="D5" s="2" t="s">
        <v>66</v>
      </c>
      <c r="E5" s="2" t="s">
        <v>67</v>
      </c>
      <c r="F5" s="2"/>
      <c r="G5" s="6" t="s">
        <v>68</v>
      </c>
    </row>
    <row r="6" spans="1:7" ht="15">
      <c r="A6" s="2" t="s">
        <v>64</v>
      </c>
      <c r="B6" s="2" t="s">
        <v>69</v>
      </c>
      <c r="C6" s="4">
        <v>1.8</v>
      </c>
      <c r="D6" s="2" t="s">
        <v>66</v>
      </c>
      <c r="E6" s="2" t="s">
        <v>70</v>
      </c>
      <c r="F6" s="2"/>
      <c r="G6" s="6" t="s">
        <v>68</v>
      </c>
    </row>
    <row r="7" spans="1:7" ht="15">
      <c r="A7" s="2" t="s">
        <v>64</v>
      </c>
      <c r="B7" s="2" t="s">
        <v>71</v>
      </c>
      <c r="C7" s="8">
        <v>0.65</v>
      </c>
      <c r="D7" s="2" t="s">
        <v>72</v>
      </c>
      <c r="E7" s="2" t="s">
        <v>73</v>
      </c>
      <c r="F7" s="2"/>
      <c r="G7" s="6" t="s">
        <v>68</v>
      </c>
    </row>
    <row r="8" spans="1:7" ht="15">
      <c r="A8" s="2" t="s">
        <v>64</v>
      </c>
      <c r="B8" s="2" t="s">
        <v>74</v>
      </c>
      <c r="C8" s="4">
        <v>1.2</v>
      </c>
      <c r="D8" s="2" t="s">
        <v>66</v>
      </c>
      <c r="E8" s="2" t="s">
        <v>75</v>
      </c>
      <c r="F8" s="2"/>
      <c r="G8" s="6" t="s">
        <v>68</v>
      </c>
    </row>
    <row r="9" spans="1:7" ht="15">
      <c r="A9" s="2" t="s">
        <v>76</v>
      </c>
      <c r="B9" s="2" t="s">
        <v>77</v>
      </c>
      <c r="C9" s="2">
        <f>모니터링_데이터!D8</f>
        <v>11.6</v>
      </c>
      <c r="D9" s="2" t="s">
        <v>53</v>
      </c>
      <c r="E9" s="2" t="s">
        <v>78</v>
      </c>
      <c r="F9" s="2">
        <f>C9</f>
        <v>11.6</v>
      </c>
      <c r="G9" s="6"/>
    </row>
    <row r="10" spans="1:7" ht="15">
      <c r="A10" s="2" t="s">
        <v>76</v>
      </c>
      <c r="B10" s="2" t="s">
        <v>79</v>
      </c>
      <c r="C10" s="2"/>
      <c r="D10" s="2" t="s">
        <v>53</v>
      </c>
      <c r="E10" s="2" t="s">
        <v>80</v>
      </c>
      <c r="F10" s="9">
        <f>ROUNDUP(C9*$C$5*$C$6/$C$7*$C$8,0)</f>
        <v>51</v>
      </c>
      <c r="G10" s="6"/>
    </row>
    <row r="11" spans="1:7" ht="15">
      <c r="A11" s="2" t="s">
        <v>76</v>
      </c>
      <c r="B11" s="2" t="s">
        <v>81</v>
      </c>
      <c r="C11" s="2">
        <v>16</v>
      </c>
      <c r="D11" s="2" t="s">
        <v>53</v>
      </c>
      <c r="E11" s="2" t="s">
        <v>82</v>
      </c>
      <c r="F11" s="9">
        <f>C11</f>
        <v>16</v>
      </c>
      <c r="G11" s="6"/>
    </row>
    <row r="12" spans="1:7" ht="15">
      <c r="A12" s="2" t="s">
        <v>76</v>
      </c>
      <c r="B12" s="2" t="s">
        <v>83</v>
      </c>
      <c r="C12" s="2"/>
      <c r="D12" s="2" t="s">
        <v>53</v>
      </c>
      <c r="E12" s="2" t="s">
        <v>84</v>
      </c>
      <c r="F12" s="9">
        <f>MAX(0,F10-F11)</f>
        <v>35</v>
      </c>
      <c r="G12" s="6"/>
    </row>
    <row r="13" spans="1:7" ht="15">
      <c r="A13" s="2" t="s">
        <v>85</v>
      </c>
      <c r="B13" s="2" t="s">
        <v>86</v>
      </c>
      <c r="C13" s="2">
        <f>모니터링_데이터!F8</f>
        <v>27.1</v>
      </c>
      <c r="D13" s="2" t="s">
        <v>55</v>
      </c>
      <c r="E13" s="2" t="s">
        <v>87</v>
      </c>
      <c r="F13" s="9">
        <f>C13</f>
        <v>27.1</v>
      </c>
      <c r="G13" s="6"/>
    </row>
    <row r="14" spans="1:7" ht="15">
      <c r="A14" s="2" t="s">
        <v>85</v>
      </c>
      <c r="B14" s="2" t="s">
        <v>88</v>
      </c>
      <c r="C14" s="2"/>
      <c r="D14" s="2" t="s">
        <v>55</v>
      </c>
      <c r="E14" s="2" t="s">
        <v>89</v>
      </c>
      <c r="F14" s="9">
        <f>ROUNDUP(C13*$C$5*$C$6/$C$7*$C$8,0)</f>
        <v>118</v>
      </c>
      <c r="G14" s="6"/>
    </row>
    <row r="15" spans="1:7" ht="15">
      <c r="A15" s="2" t="s">
        <v>85</v>
      </c>
      <c r="B15" s="2" t="s">
        <v>90</v>
      </c>
      <c r="C15" s="2">
        <v>48</v>
      </c>
      <c r="D15" s="2" t="s">
        <v>55</v>
      </c>
      <c r="E15" s="2" t="s">
        <v>82</v>
      </c>
      <c r="F15" s="9">
        <f>C15</f>
        <v>48</v>
      </c>
      <c r="G15" s="6"/>
    </row>
    <row r="16" spans="1:7" ht="15">
      <c r="A16" s="2" t="s">
        <v>85</v>
      </c>
      <c r="B16" s="2" t="s">
        <v>91</v>
      </c>
      <c r="C16" s="2"/>
      <c r="D16" s="2" t="s">
        <v>55</v>
      </c>
      <c r="E16" s="2" t="s">
        <v>84</v>
      </c>
      <c r="F16" s="9">
        <f>MAX(0,F14-F15)</f>
        <v>70</v>
      </c>
      <c r="G16" s="6"/>
    </row>
    <row r="17" spans="1:7" ht="15">
      <c r="A17" s="2" t="s">
        <v>92</v>
      </c>
      <c r="B17" s="2" t="s">
        <v>93</v>
      </c>
      <c r="C17" s="2">
        <f>모니터링_데이터!G8</f>
        <v>528</v>
      </c>
      <c r="D17" s="2" t="s">
        <v>55</v>
      </c>
      <c r="E17" s="2" t="s">
        <v>94</v>
      </c>
      <c r="F17" s="9">
        <f>C17</f>
        <v>528</v>
      </c>
      <c r="G17" s="6"/>
    </row>
    <row r="18" spans="1:7" ht="15">
      <c r="A18" s="2" t="s">
        <v>92</v>
      </c>
      <c r="B18" s="2" t="s">
        <v>95</v>
      </c>
      <c r="C18" s="2">
        <f>모니터링_데이터!H8</f>
        <v>5.7</v>
      </c>
      <c r="D18" s="2" t="s">
        <v>96</v>
      </c>
      <c r="E18" s="2" t="s">
        <v>94</v>
      </c>
      <c r="F18" s="9">
        <f>C18</f>
        <v>5.7</v>
      </c>
      <c r="G18" s="6"/>
    </row>
    <row r="19" spans="1:7" ht="15">
      <c r="A19" s="2" t="s">
        <v>92</v>
      </c>
      <c r="B19" s="2" t="s">
        <v>97</v>
      </c>
      <c r="C19" s="4">
        <v>90</v>
      </c>
      <c r="D19" s="2" t="s">
        <v>98</v>
      </c>
      <c r="E19" s="2" t="s">
        <v>99</v>
      </c>
      <c r="F19" s="9"/>
      <c r="G19" s="6" t="s">
        <v>68</v>
      </c>
    </row>
    <row r="20" spans="1:7" ht="15">
      <c r="A20" s="2" t="s">
        <v>92</v>
      </c>
      <c r="B20" s="2" t="s">
        <v>71</v>
      </c>
      <c r="C20" s="8">
        <v>0.7</v>
      </c>
      <c r="D20" s="2" t="s">
        <v>72</v>
      </c>
      <c r="E20" s="2" t="s">
        <v>100</v>
      </c>
      <c r="F20" s="9"/>
      <c r="G20" s="6" t="s">
        <v>68</v>
      </c>
    </row>
    <row r="21" spans="1:7" ht="30">
      <c r="A21" s="3" t="s">
        <v>92</v>
      </c>
      <c r="B21" s="3" t="s">
        <v>101</v>
      </c>
      <c r="C21" s="5">
        <v>1.3</v>
      </c>
      <c r="D21" s="3" t="s">
        <v>66</v>
      </c>
      <c r="E21" s="3" t="s">
        <v>102</v>
      </c>
      <c r="G21" s="7" t="s">
        <v>68</v>
      </c>
    </row>
    <row r="22" spans="1:7" ht="30">
      <c r="A22" s="2" t="s">
        <v>92</v>
      </c>
      <c r="B22" s="2" t="s">
        <v>103</v>
      </c>
      <c r="C22" s="2"/>
      <c r="D22" s="2" t="s">
        <v>55</v>
      </c>
      <c r="E22" s="2" t="s">
        <v>104</v>
      </c>
      <c r="F22" s="9">
        <f>ROUNDUP((C17+C18*C19)*$C$21/C20*$C$8,0)</f>
        <v>2320</v>
      </c>
      <c r="G22" s="6"/>
    </row>
    <row r="23" spans="1:7" ht="15">
      <c r="A23" s="2" t="s">
        <v>105</v>
      </c>
      <c r="B23" s="2" t="s">
        <v>106</v>
      </c>
      <c r="C23" s="2"/>
      <c r="D23" s="2" t="s">
        <v>107</v>
      </c>
      <c r="E23" s="2" t="s">
        <v>108</v>
      </c>
      <c r="F23" s="2" t="s">
        <v>109</v>
      </c>
      <c r="G23" s="6" t="s">
        <v>110</v>
      </c>
    </row>
  </sheetData>
  <mergeCells count="1">
    <mergeCell ref="A1:G2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사용안내</vt:lpstr>
      <vt:lpstr>모니터링_데이터</vt:lpstr>
      <vt:lpstr>용량산정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정호 나</cp:lastModifiedBy>
  <dcterms:created xsi:type="dcterms:W3CDTF">2026-08-01T00:10:46Z</dcterms:created>
  <dcterms:modified xsi:type="dcterms:W3CDTF">2026-08-02T10:43:29Z</dcterms:modified>
</cp:coreProperties>
</file>